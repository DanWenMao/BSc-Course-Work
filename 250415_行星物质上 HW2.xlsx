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二下学期课程\行星物质（上）\"/>
    </mc:Choice>
  </mc:AlternateContent>
  <xr:revisionPtr revIDLastSave="0" documentId="13_ncr:1_{83A66E19-8E91-4DF3-86BA-600DE860DA9C}" xr6:coauthVersionLast="47" xr6:coauthVersionMax="47" xr10:uidLastSave="{00000000-0000-0000-0000-000000000000}"/>
  <bookViews>
    <workbookView xWindow="-110" yWindow="-110" windowWidth="19420" windowHeight="11500" xr2:uid="{9AC701F6-37A4-4AF0-9B72-6A4E5A474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D4" i="1"/>
  <c r="H4" i="1" s="1"/>
  <c r="D5" i="1"/>
  <c r="H5" i="1" s="1"/>
  <c r="D6" i="1"/>
  <c r="F6" i="1" s="1"/>
  <c r="I6" i="1" s="1"/>
  <c r="D7" i="1"/>
  <c r="F7" i="1" s="1"/>
  <c r="I7" i="1" s="1"/>
  <c r="D8" i="1"/>
  <c r="F8" i="1" s="1"/>
  <c r="I8" i="1" s="1"/>
  <c r="D9" i="1"/>
  <c r="F9" i="1" s="1"/>
  <c r="I9" i="1" s="1"/>
  <c r="D10" i="1"/>
  <c r="F10" i="1" s="1"/>
  <c r="I10" i="1" s="1"/>
  <c r="D11" i="1"/>
  <c r="F11" i="1" s="1"/>
  <c r="I11" i="1" s="1"/>
  <c r="D3" i="1"/>
  <c r="F3" i="1" s="1"/>
  <c r="I3" i="1" s="1"/>
  <c r="H3" i="1" l="1"/>
  <c r="H11" i="1"/>
  <c r="H10" i="1"/>
  <c r="H9" i="1"/>
  <c r="H8" i="1"/>
  <c r="F5" i="1"/>
  <c r="I5" i="1" s="1"/>
  <c r="F4" i="1"/>
  <c r="I4" i="1" s="1"/>
  <c r="H7" i="1"/>
  <c r="H6" i="1"/>
  <c r="H12" i="1"/>
  <c r="I13" i="1" s="1"/>
</calcChain>
</file>

<file path=xl/sharedStrings.xml><?xml version="1.0" encoding="utf-8"?>
<sst xmlns="http://schemas.openxmlformats.org/spreadsheetml/2006/main" count="33" uniqueCount="32">
  <si>
    <t>SiO2</t>
    <phoneticPr fontId="2" type="noConversion"/>
  </si>
  <si>
    <t>Al2O3</t>
    <phoneticPr fontId="2" type="noConversion"/>
  </si>
  <si>
    <t>TiO2</t>
    <phoneticPr fontId="2" type="noConversion"/>
  </si>
  <si>
    <t>FeO</t>
    <phoneticPr fontId="2" type="noConversion"/>
  </si>
  <si>
    <t>MnO</t>
    <phoneticPr fontId="2" type="noConversion"/>
  </si>
  <si>
    <t>MgO</t>
    <phoneticPr fontId="2" type="noConversion"/>
  </si>
  <si>
    <t>CaO</t>
    <phoneticPr fontId="2" type="noConversion"/>
  </si>
  <si>
    <t>Na2O</t>
    <phoneticPr fontId="2" type="noConversion"/>
  </si>
  <si>
    <t>K2O</t>
    <phoneticPr fontId="2" type="noConversion"/>
  </si>
  <si>
    <t>SUM</t>
    <phoneticPr fontId="2" type="noConversion"/>
  </si>
  <si>
    <t>wt%</t>
    <phoneticPr fontId="2" type="noConversion"/>
  </si>
  <si>
    <t>Mole Mass</t>
    <phoneticPr fontId="2" type="noConversion"/>
  </si>
  <si>
    <t>n/mol</t>
    <phoneticPr fontId="2" type="noConversion"/>
  </si>
  <si>
    <t>Positive Ion</t>
    <phoneticPr fontId="2" type="noConversion"/>
  </si>
  <si>
    <t>Oxygen Ion</t>
    <phoneticPr fontId="2" type="noConversion"/>
  </si>
  <si>
    <t>n(Positive Ion)</t>
    <phoneticPr fontId="2" type="noConversion"/>
  </si>
  <si>
    <t>n(Oxygen Ion)</t>
    <phoneticPr fontId="2" type="noConversion"/>
  </si>
  <si>
    <t>RATIO</t>
    <phoneticPr fontId="2" type="noConversion"/>
  </si>
  <si>
    <t>Coordination Number</t>
    <phoneticPr fontId="2" type="noConversion"/>
  </si>
  <si>
    <t>4 or 6</t>
    <phoneticPr fontId="2" type="noConversion"/>
  </si>
  <si>
    <t>n(Positive Ion) when n(O)=6</t>
    <phoneticPr fontId="2" type="noConversion"/>
  </si>
  <si>
    <t>Result</t>
    <phoneticPr fontId="2" type="noConversion"/>
  </si>
  <si>
    <r>
      <t>(Ca,Na,K)(Fe,Mg,Al,Ti,Mn)(Si,Al)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2" type="noConversion"/>
  </si>
  <si>
    <r>
      <t>(Ca</t>
    </r>
    <r>
      <rPr>
        <vertAlign val="subscript"/>
        <sz val="11"/>
        <color theme="1"/>
        <rFont val="Times New Roman"/>
        <family val="1"/>
      </rPr>
      <t>0.029</t>
    </r>
    <r>
      <rPr>
        <sz val="11"/>
        <color theme="1"/>
        <rFont val="Times New Roman"/>
        <family val="1"/>
      </rPr>
      <t>Na</t>
    </r>
    <r>
      <rPr>
        <vertAlign val="subscript"/>
        <sz val="11"/>
        <color theme="1"/>
        <rFont val="Times New Roman"/>
        <family val="1"/>
      </rPr>
      <t>0.028</t>
    </r>
    <r>
      <rPr>
        <sz val="11"/>
        <color theme="1"/>
        <rFont val="Times New Roman"/>
        <family val="1"/>
      </rPr>
      <t>K</t>
    </r>
    <r>
      <rPr>
        <vertAlign val="subscript"/>
        <sz val="11"/>
        <color theme="1"/>
        <rFont val="Times New Roman"/>
        <family val="1"/>
      </rPr>
      <t>0.002</t>
    </r>
    <r>
      <rPr>
        <sz val="11"/>
        <color theme="1"/>
        <rFont val="Times New Roman"/>
        <family val="1"/>
      </rPr>
      <t>)(Fe</t>
    </r>
    <r>
      <rPr>
        <vertAlign val="superscript"/>
        <sz val="11"/>
        <color theme="1"/>
        <rFont val="Times New Roman"/>
        <family val="1"/>
      </rPr>
      <t>2+</t>
    </r>
    <r>
      <rPr>
        <vertAlign val="subscript"/>
        <sz val="11"/>
        <color theme="1"/>
        <rFont val="Times New Roman"/>
        <family val="1"/>
      </rPr>
      <t>0.2136</t>
    </r>
    <r>
      <rPr>
        <sz val="11"/>
        <color theme="1"/>
        <rFont val="Times New Roman"/>
        <family val="1"/>
      </rPr>
      <t>Mg</t>
    </r>
    <r>
      <rPr>
        <vertAlign val="subscript"/>
        <sz val="11"/>
        <color theme="1"/>
        <rFont val="Times New Roman"/>
        <family val="1"/>
      </rPr>
      <t>1.7027</t>
    </r>
    <r>
      <rPr>
        <sz val="11"/>
        <color theme="1"/>
        <rFont val="Times New Roman"/>
        <family val="1"/>
      </rPr>
      <t>Al</t>
    </r>
    <r>
      <rPr>
        <vertAlign val="subscript"/>
        <sz val="11"/>
        <color theme="1"/>
        <rFont val="Times New Roman"/>
        <family val="1"/>
      </rPr>
      <t>0.0551</t>
    </r>
    <r>
      <rPr>
        <sz val="11"/>
        <color theme="1"/>
        <rFont val="Times New Roman"/>
        <family val="1"/>
      </rPr>
      <t>Mn</t>
    </r>
    <r>
      <rPr>
        <vertAlign val="subscript"/>
        <sz val="11"/>
        <color theme="1"/>
        <rFont val="Times New Roman"/>
        <family val="1"/>
      </rPr>
      <t>0.007</t>
    </r>
    <r>
      <rPr>
        <sz val="11"/>
        <color theme="1"/>
        <rFont val="Times New Roman"/>
        <family val="1"/>
      </rPr>
      <t>Ti</t>
    </r>
    <r>
      <rPr>
        <vertAlign val="subscript"/>
        <sz val="11"/>
        <color theme="1"/>
        <rFont val="Times New Roman"/>
        <family val="1"/>
      </rPr>
      <t>0.002</t>
    </r>
    <r>
      <rPr>
        <sz val="11"/>
        <color theme="1"/>
        <rFont val="Times New Roman"/>
        <family val="1"/>
      </rPr>
      <t>)(Si</t>
    </r>
    <r>
      <rPr>
        <vertAlign val="subscript"/>
        <sz val="11"/>
        <color theme="1"/>
        <rFont val="Times New Roman"/>
        <family val="1"/>
      </rPr>
      <t>1.896</t>
    </r>
    <r>
      <rPr>
        <sz val="11"/>
        <color theme="1"/>
        <rFont val="Times New Roman"/>
        <family val="1"/>
      </rPr>
      <t>Al</t>
    </r>
    <r>
      <rPr>
        <vertAlign val="subscript"/>
        <sz val="11"/>
        <color theme="1"/>
        <rFont val="Times New Roman"/>
        <family val="1"/>
      </rPr>
      <t>0.104</t>
    </r>
    <r>
      <rPr>
        <sz val="11"/>
        <color theme="1"/>
        <rFont val="Times New Roman"/>
        <family val="1"/>
      </rPr>
      <t>)O</t>
    </r>
    <r>
      <rPr>
        <vertAlign val="subscript"/>
        <sz val="11"/>
        <color theme="1"/>
        <rFont val="Times New Roman"/>
        <family val="1"/>
      </rPr>
      <t>6</t>
    </r>
    <phoneticPr fontId="2" type="noConversion"/>
  </si>
  <si>
    <t>En</t>
    <phoneticPr fontId="2" type="noConversion"/>
  </si>
  <si>
    <t>Fs</t>
    <phoneticPr fontId="2" type="noConversion"/>
  </si>
  <si>
    <t>Wo</t>
    <phoneticPr fontId="2" type="noConversion"/>
  </si>
  <si>
    <r>
      <t>Mg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2" type="noConversion"/>
  </si>
  <si>
    <r>
      <t>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2" type="noConversion"/>
  </si>
  <si>
    <r>
      <t>Ca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Si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2" type="noConversion"/>
  </si>
  <si>
    <r>
      <t>En</t>
    </r>
    <r>
      <rPr>
        <vertAlign val="subscript"/>
        <sz val="11"/>
        <color theme="1"/>
        <rFont val="Times New Roman"/>
        <family val="1"/>
      </rPr>
      <t>87.5</t>
    </r>
    <r>
      <rPr>
        <sz val="11"/>
        <color theme="1"/>
        <rFont val="Times New Roman"/>
        <family val="1"/>
      </rPr>
      <t>Fs</t>
    </r>
    <r>
      <rPr>
        <vertAlign val="subscript"/>
        <sz val="11"/>
        <color theme="1"/>
        <rFont val="Times New Roman"/>
        <family val="1"/>
      </rPr>
      <t>11.0</t>
    </r>
    <r>
      <rPr>
        <sz val="11"/>
        <color theme="1"/>
        <rFont val="Times New Roman"/>
        <family val="1"/>
      </rPr>
      <t>Wo</t>
    </r>
    <r>
      <rPr>
        <vertAlign val="subscript"/>
        <sz val="11"/>
        <color theme="1"/>
        <rFont val="Times New Roman"/>
        <family val="1"/>
      </rPr>
      <t>1.50</t>
    </r>
    <phoneticPr fontId="2" type="noConversion"/>
  </si>
  <si>
    <t>Task: Calculate the molecular formula of Pyroxene based on the given data.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</si>
</sst>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C52C-84D5-4F88-AE80-F27CE5B9DA6B}">
  <dimension ref="A1:J18"/>
  <sheetViews>
    <sheetView tabSelected="1" workbookViewId="0">
      <selection activeCell="G20" sqref="G20"/>
    </sheetView>
  </sheetViews>
  <sheetFormatPr defaultRowHeight="14" x14ac:dyDescent="0.3"/>
  <cols>
    <col min="1" max="1" width="6.1640625" style="1" bestFit="1" customWidth="1"/>
    <col min="2" max="2" width="8.1640625" style="1" bestFit="1" customWidth="1"/>
    <col min="3" max="4" width="11.33203125" style="1" bestFit="1" customWidth="1"/>
    <col min="5" max="5" width="9.83203125" style="1" bestFit="1" customWidth="1"/>
    <col min="6" max="6" width="12" style="1" bestFit="1" customWidth="1"/>
    <col min="7" max="7" width="9.5" style="1" bestFit="1" customWidth="1"/>
    <col min="8" max="8" width="11.6640625" style="1" bestFit="1" customWidth="1"/>
    <col min="9" max="9" width="22.75" style="1" bestFit="1" customWidth="1"/>
    <col min="10" max="10" width="30.5" style="1" bestFit="1" customWidth="1"/>
    <col min="11" max="16384" width="8.6640625" style="1"/>
  </cols>
  <sheetData>
    <row r="1" spans="1:10" x14ac:dyDescent="0.3">
      <c r="A1" s="3" t="s">
        <v>31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B2" s="1" t="s">
        <v>10</v>
      </c>
      <c r="C2" s="1" t="s">
        <v>11</v>
      </c>
      <c r="D2" s="1" t="s">
        <v>12</v>
      </c>
      <c r="E2" s="1" t="s">
        <v>13</v>
      </c>
      <c r="F2" s="1" t="s">
        <v>15</v>
      </c>
      <c r="G2" s="1" t="s">
        <v>14</v>
      </c>
      <c r="H2" s="1" t="s">
        <v>16</v>
      </c>
      <c r="I2" s="1" t="s">
        <v>20</v>
      </c>
      <c r="J2" s="1" t="s">
        <v>18</v>
      </c>
    </row>
    <row r="3" spans="1:10" x14ac:dyDescent="0.3">
      <c r="A3" s="1" t="s">
        <v>0</v>
      </c>
      <c r="B3" s="1">
        <v>54.47</v>
      </c>
      <c r="C3" s="1">
        <v>60.08</v>
      </c>
      <c r="D3" s="1">
        <f>B3/C3</f>
        <v>0.90662450066577893</v>
      </c>
      <c r="E3" s="1">
        <v>1</v>
      </c>
      <c r="F3" s="1">
        <f>D3*E3</f>
        <v>0.90662450066577893</v>
      </c>
      <c r="G3" s="1">
        <v>2</v>
      </c>
      <c r="H3" s="1">
        <f>G3*D3</f>
        <v>1.8132490013315579</v>
      </c>
      <c r="I3" s="1">
        <f>F3*2.090741892</f>
        <v>1.8955178238555259</v>
      </c>
      <c r="J3" s="1">
        <v>4</v>
      </c>
    </row>
    <row r="4" spans="1:10" x14ac:dyDescent="0.3">
      <c r="A4" s="1" t="s">
        <v>1</v>
      </c>
      <c r="B4" s="1">
        <v>3.88</v>
      </c>
      <c r="C4" s="1">
        <v>101.96</v>
      </c>
      <c r="D4" s="1">
        <f t="shared" ref="D4:D11" si="0">B4/C4</f>
        <v>3.8054138877991368E-2</v>
      </c>
      <c r="E4" s="1">
        <v>2</v>
      </c>
      <c r="F4" s="1">
        <f t="shared" ref="F4:F11" si="1">D4*E4</f>
        <v>7.6108277755982737E-2</v>
      </c>
      <c r="G4" s="1">
        <v>3</v>
      </c>
      <c r="H4" s="1">
        <f t="shared" ref="H4:H11" si="2">G4*D4</f>
        <v>0.11416241663397411</v>
      </c>
      <c r="I4" s="1">
        <f t="shared" ref="I4:I11" si="3">F4*2.090741892</f>
        <v>0.15912276463240488</v>
      </c>
      <c r="J4" s="1" t="s">
        <v>19</v>
      </c>
    </row>
    <row r="5" spans="1:10" x14ac:dyDescent="0.3">
      <c r="A5" s="1" t="s">
        <v>2</v>
      </c>
      <c r="B5" s="1">
        <v>0.06</v>
      </c>
      <c r="C5" s="1">
        <v>79.87</v>
      </c>
      <c r="D5" s="1">
        <f t="shared" si="0"/>
        <v>7.5122073369224978E-4</v>
      </c>
      <c r="E5" s="1">
        <v>1</v>
      </c>
      <c r="F5" s="1">
        <f t="shared" si="1"/>
        <v>7.5122073369224978E-4</v>
      </c>
      <c r="G5" s="1">
        <v>2</v>
      </c>
      <c r="H5" s="1">
        <f t="shared" si="2"/>
        <v>1.5024414673844996E-3</v>
      </c>
      <c r="I5" s="1">
        <f t="shared" si="3"/>
        <v>1.5706086580693625E-3</v>
      </c>
      <c r="J5" s="1">
        <v>6</v>
      </c>
    </row>
    <row r="6" spans="1:10" x14ac:dyDescent="0.3">
      <c r="A6" s="1" t="s">
        <v>3</v>
      </c>
      <c r="B6" s="1">
        <v>7.34</v>
      </c>
      <c r="C6" s="1">
        <v>71.849999999999994</v>
      </c>
      <c r="D6" s="1">
        <f t="shared" si="0"/>
        <v>0.10215727209464162</v>
      </c>
      <c r="E6" s="1">
        <v>1</v>
      </c>
      <c r="F6" s="1">
        <f t="shared" si="1"/>
        <v>0.10215727209464162</v>
      </c>
      <c r="G6" s="1">
        <v>1</v>
      </c>
      <c r="H6" s="1">
        <f t="shared" si="2"/>
        <v>0.10215727209464162</v>
      </c>
      <c r="I6" s="1">
        <f t="shared" si="3"/>
        <v>0.21358448834070984</v>
      </c>
      <c r="J6" s="1">
        <v>6</v>
      </c>
    </row>
    <row r="7" spans="1:10" x14ac:dyDescent="0.3">
      <c r="A7" s="1" t="s">
        <v>4</v>
      </c>
      <c r="B7" s="1">
        <v>0.24</v>
      </c>
      <c r="C7" s="1">
        <v>70.94</v>
      </c>
      <c r="D7" s="1">
        <f t="shared" si="0"/>
        <v>3.3831406822667043E-3</v>
      </c>
      <c r="E7" s="1">
        <v>1</v>
      </c>
      <c r="F7" s="1">
        <f t="shared" si="1"/>
        <v>3.3831406822667043E-3</v>
      </c>
      <c r="G7" s="1">
        <v>1</v>
      </c>
      <c r="H7" s="1">
        <f t="shared" si="2"/>
        <v>3.3831406822667043E-3</v>
      </c>
      <c r="I7" s="1">
        <f t="shared" si="3"/>
        <v>7.07327395094446E-3</v>
      </c>
      <c r="J7" s="1">
        <v>6</v>
      </c>
    </row>
    <row r="8" spans="1:10" x14ac:dyDescent="0.3">
      <c r="A8" s="1" t="s">
        <v>5</v>
      </c>
      <c r="B8" s="1">
        <v>32.82</v>
      </c>
      <c r="C8" s="1">
        <v>40.299999999999997</v>
      </c>
      <c r="D8" s="1">
        <f t="shared" si="0"/>
        <v>0.81439205955334992</v>
      </c>
      <c r="E8" s="1">
        <v>1</v>
      </c>
      <c r="F8" s="1">
        <f t="shared" si="1"/>
        <v>0.81439205955334992</v>
      </c>
      <c r="G8" s="1">
        <v>1</v>
      </c>
      <c r="H8" s="1">
        <f t="shared" si="2"/>
        <v>0.81439205955334992</v>
      </c>
      <c r="I8" s="1">
        <f t="shared" si="3"/>
        <v>1.7026835954203476</v>
      </c>
      <c r="J8" s="1">
        <v>6</v>
      </c>
    </row>
    <row r="9" spans="1:10" x14ac:dyDescent="0.3">
      <c r="A9" s="1" t="s">
        <v>6</v>
      </c>
      <c r="B9" s="1">
        <v>0.78</v>
      </c>
      <c r="C9" s="1">
        <v>56.08</v>
      </c>
      <c r="D9" s="1">
        <f t="shared" si="0"/>
        <v>1.3908701854493581E-2</v>
      </c>
      <c r="E9" s="1">
        <v>1</v>
      </c>
      <c r="F9" s="1">
        <f t="shared" si="1"/>
        <v>1.3908701854493581E-2</v>
      </c>
      <c r="G9" s="1">
        <v>1</v>
      </c>
      <c r="H9" s="1">
        <f t="shared" si="2"/>
        <v>1.3908701854493581E-2</v>
      </c>
      <c r="I9" s="1">
        <f t="shared" si="3"/>
        <v>2.9079505630527819E-2</v>
      </c>
      <c r="J9" s="1">
        <v>8</v>
      </c>
    </row>
    <row r="10" spans="1:10" x14ac:dyDescent="0.3">
      <c r="A10" s="1" t="s">
        <v>7</v>
      </c>
      <c r="B10" s="1">
        <v>0.41</v>
      </c>
      <c r="C10" s="1">
        <v>61.98</v>
      </c>
      <c r="D10" s="1">
        <f t="shared" si="0"/>
        <v>6.6150371087447561E-3</v>
      </c>
      <c r="E10" s="1">
        <v>2</v>
      </c>
      <c r="F10" s="1">
        <f t="shared" si="1"/>
        <v>1.3230074217489512E-2</v>
      </c>
      <c r="G10" s="1">
        <v>1</v>
      </c>
      <c r="H10" s="1">
        <f t="shared" si="2"/>
        <v>6.6150371087447561E-3</v>
      </c>
      <c r="I10" s="1">
        <f t="shared" si="3"/>
        <v>2.7660670400774443E-2</v>
      </c>
      <c r="J10" s="1">
        <v>8</v>
      </c>
    </row>
    <row r="11" spans="1:10" x14ac:dyDescent="0.3">
      <c r="A11" s="1" t="s">
        <v>8</v>
      </c>
      <c r="B11" s="1">
        <v>0.04</v>
      </c>
      <c r="C11" s="1">
        <v>94.2</v>
      </c>
      <c r="D11" s="1">
        <f t="shared" si="0"/>
        <v>4.2462845010615713E-4</v>
      </c>
      <c r="E11" s="1">
        <v>2</v>
      </c>
      <c r="F11" s="1">
        <f t="shared" si="1"/>
        <v>8.4925690021231425E-4</v>
      </c>
      <c r="G11" s="1">
        <v>1</v>
      </c>
      <c r="H11" s="1">
        <f t="shared" si="2"/>
        <v>4.2462845010615713E-4</v>
      </c>
      <c r="I11" s="1">
        <f t="shared" si="3"/>
        <v>1.7755769783439491E-3</v>
      </c>
      <c r="J11" s="1">
        <v>8</v>
      </c>
    </row>
    <row r="12" spans="1:10" ht="17" x14ac:dyDescent="0.3">
      <c r="A12" s="1" t="s">
        <v>9</v>
      </c>
      <c r="B12" s="1">
        <v>100.04</v>
      </c>
      <c r="H12" s="1">
        <f>SUM(H3:H11)</f>
        <v>2.8697946991765191</v>
      </c>
      <c r="I12" s="1">
        <v>6</v>
      </c>
      <c r="J12" s="1" t="s">
        <v>22</v>
      </c>
    </row>
    <row r="13" spans="1:10" x14ac:dyDescent="0.3">
      <c r="H13" s="1" t="s">
        <v>17</v>
      </c>
      <c r="I13" s="1">
        <f>I12/H12</f>
        <v>2.0907418923457088</v>
      </c>
    </row>
    <row r="14" spans="1:10" ht="17" x14ac:dyDescent="0.3">
      <c r="A14" s="1" t="s">
        <v>21</v>
      </c>
      <c r="B14" s="2" t="s">
        <v>23</v>
      </c>
      <c r="C14" s="2"/>
      <c r="D14" s="2"/>
      <c r="E14" s="2"/>
      <c r="F14" s="2"/>
      <c r="G14" s="2"/>
      <c r="H14" s="2"/>
      <c r="I14" s="2"/>
      <c r="J14" s="2"/>
    </row>
    <row r="15" spans="1:10" ht="17" x14ac:dyDescent="0.3">
      <c r="A15" s="1" t="s">
        <v>24</v>
      </c>
      <c r="B15" s="1" t="s">
        <v>27</v>
      </c>
      <c r="C15" s="1">
        <f>1.7027/(1.7027+0.2136+0.029)*100</f>
        <v>87.528915848455256</v>
      </c>
    </row>
    <row r="16" spans="1:10" ht="17" x14ac:dyDescent="0.3">
      <c r="A16" s="1" t="s">
        <v>25</v>
      </c>
      <c r="B16" s="1" t="s">
        <v>28</v>
      </c>
      <c r="C16" s="1">
        <f>0.2136/(1.7027+0.029+0.2136)*100</f>
        <v>10.980311520074025</v>
      </c>
    </row>
    <row r="17" spans="1:10" ht="17" x14ac:dyDescent="0.3">
      <c r="A17" s="1" t="s">
        <v>26</v>
      </c>
      <c r="B17" s="1" t="s">
        <v>29</v>
      </c>
      <c r="C17" s="1">
        <f>0.029/(0.2136+1.7027+0.029)*100</f>
        <v>1.4907726314707244</v>
      </c>
    </row>
    <row r="18" spans="1:10" ht="17" x14ac:dyDescent="0.3">
      <c r="A18" s="1" t="s">
        <v>21</v>
      </c>
      <c r="B18" s="2" t="s">
        <v>30</v>
      </c>
      <c r="C18" s="2"/>
      <c r="D18" s="2"/>
      <c r="E18" s="2"/>
      <c r="F18" s="2"/>
      <c r="G18" s="2"/>
      <c r="H18" s="2"/>
      <c r="I18" s="2"/>
      <c r="J18" s="2"/>
    </row>
  </sheetData>
  <mergeCells count="3">
    <mergeCell ref="B14:J14"/>
    <mergeCell ref="B18:J18"/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DANWEN MAO</dc:creator>
  <cp:lastModifiedBy>DANWEN MAO</cp:lastModifiedBy>
  <dcterms:created xsi:type="dcterms:W3CDTF">2025-04-15T07:32:14Z</dcterms:created>
  <dcterms:modified xsi:type="dcterms:W3CDTF">2025-04-15T08:47:31Z</dcterms:modified>
</cp:coreProperties>
</file>